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04C1C00F-382D-432C-9BDF-A7F34A6045F9}" xr6:coauthVersionLast="47" xr6:coauthVersionMax="47" xr10:uidLastSave="{00000000-0000-0000-0000-000000000000}"/>
  <bookViews>
    <workbookView xWindow="-108" yWindow="-108" windowWidth="23256" windowHeight="12456" firstSheet="3" activeTab="6" xr2:uid="{CF5A96A6-2AAD-4BA1-967B-36BF7F1815D3}"/>
  </bookViews>
  <sheets>
    <sheet name="Sheet1" sheetId="1" r:id="rId1"/>
    <sheet name="Cell Reference" sheetId="2" r:id="rId2"/>
    <sheet name="Sheet2" sheetId="3" r:id="rId3"/>
    <sheet name=" Consolidation_Table1" sheetId="4" r:id="rId4"/>
    <sheet name=" Consolidation_Table2" sheetId="5" r:id="rId5"/>
    <sheet name=" Consolidation_Table3" sheetId="6" r:id="rId6"/>
    <sheet name=" Consolidation_Summar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7" l="1"/>
  <c r="C3" i="7"/>
  <c r="D3" i="7"/>
  <c r="C4" i="7"/>
  <c r="D4" i="7"/>
  <c r="B3" i="7"/>
  <c r="B4" i="7"/>
  <c r="B2" i="7"/>
  <c r="D3" i="4"/>
  <c r="D4" i="4"/>
  <c r="D2" i="4"/>
  <c r="D2" i="7" s="1"/>
  <c r="D3" i="6"/>
  <c r="D4" i="6"/>
  <c r="D2" i="6"/>
  <c r="D3" i="5"/>
  <c r="D4" i="5"/>
  <c r="D2" i="5"/>
  <c r="G10" i="3"/>
  <c r="C7" i="3"/>
  <c r="B7" i="3"/>
  <c r="D7" i="3"/>
  <c r="D3" i="3"/>
  <c r="D4" i="3"/>
  <c r="D5" i="3"/>
  <c r="D6" i="3"/>
  <c r="D2" i="3"/>
  <c r="V10" i="1"/>
  <c r="V9" i="1"/>
  <c r="V8" i="1"/>
  <c r="V7" i="1"/>
  <c r="W6" i="1"/>
  <c r="V6" i="1"/>
  <c r="X5" i="1"/>
  <c r="X4" i="1"/>
  <c r="X3" i="1"/>
  <c r="X2" i="1"/>
  <c r="X6" i="1" s="1"/>
</calcChain>
</file>

<file path=xl/sharedStrings.xml><?xml version="1.0" encoding="utf-8"?>
<sst xmlns="http://schemas.openxmlformats.org/spreadsheetml/2006/main" count="76" uniqueCount="44">
  <si>
    <t>Name</t>
  </si>
  <si>
    <t>Age</t>
  </si>
  <si>
    <t xml:space="preserve">Salary </t>
  </si>
  <si>
    <t>Date of joining</t>
  </si>
  <si>
    <t>Harry</t>
  </si>
  <si>
    <t>Ron</t>
  </si>
  <si>
    <t>Danny</t>
  </si>
  <si>
    <t>Awarded</t>
  </si>
  <si>
    <t>Lukus</t>
  </si>
  <si>
    <t>Product name</t>
  </si>
  <si>
    <t>A</t>
  </si>
  <si>
    <t>B</t>
  </si>
  <si>
    <t>C</t>
  </si>
  <si>
    <t>D</t>
  </si>
  <si>
    <t>Price</t>
  </si>
  <si>
    <t>Quantity</t>
  </si>
  <si>
    <t>Totel Cost</t>
  </si>
  <si>
    <t>Total</t>
  </si>
  <si>
    <t>Avg</t>
  </si>
  <si>
    <t>Count</t>
  </si>
  <si>
    <t>MIN</t>
  </si>
  <si>
    <t>MAX</t>
  </si>
  <si>
    <t>vid 3</t>
  </si>
  <si>
    <t>vid 4</t>
  </si>
  <si>
    <t>Product A</t>
  </si>
  <si>
    <t>Product B</t>
  </si>
  <si>
    <t>Product C</t>
  </si>
  <si>
    <t>Milk</t>
  </si>
  <si>
    <t>Rise</t>
  </si>
  <si>
    <t>egg</t>
  </si>
  <si>
    <t>Chocolate</t>
  </si>
  <si>
    <t>Brade</t>
  </si>
  <si>
    <t>sales</t>
  </si>
  <si>
    <t>cost</t>
  </si>
  <si>
    <t>profit</t>
  </si>
  <si>
    <t xml:space="preserve">Month </t>
  </si>
  <si>
    <t>Sales</t>
  </si>
  <si>
    <t>Expences</t>
  </si>
  <si>
    <t>Profit</t>
  </si>
  <si>
    <t>Jan</t>
  </si>
  <si>
    <t>Feb</t>
  </si>
  <si>
    <t>Mar</t>
  </si>
  <si>
    <t xml:space="preserve">This output from teble selaction </t>
  </si>
  <si>
    <t xml:space="preserve">This output from consolidation in data tab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</si>
</sst>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205740</xdr:colOff>
      <xdr:row>0</xdr:row>
      <xdr:rowOff>0</xdr:rowOff>
    </xdr:from>
    <xdr:to>
      <xdr:col>18</xdr:col>
      <xdr:colOff>172757</xdr:colOff>
      <xdr:row>10</xdr:row>
      <xdr:rowOff>43696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BE60C-9323-49ED-862D-693F0AE92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5260" y="0"/>
          <a:ext cx="3624617" cy="18724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0</xdr:row>
      <xdr:rowOff>0</xdr:rowOff>
    </xdr:from>
    <xdr:to>
      <xdr:col>33</xdr:col>
      <xdr:colOff>0</xdr:colOff>
      <xdr:row>10</xdr:row>
      <xdr:rowOff>59572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E48EE6-8780-C903-822B-D8F7695A6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28831" y="0"/>
          <a:ext cx="3657600" cy="1935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01D0-F4C9-42FC-80FF-4EBB6A8FBF88}">
  <dimension ref="A1:AA10"/>
  <sheetViews>
    <sheetView topLeftCell="K1" zoomScale="95" workbookViewId="0">
      <selection activeCell="M20" sqref="M20"/>
    </sheetView>
  </sheetViews>
  <sheetFormatPr defaultRowHeight="14.4" x14ac:dyDescent="0.3"/>
  <cols>
    <col min="4" max="4" width="12.88671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L1" t="s">
        <v>22</v>
      </c>
      <c r="U1" s="2" t="s">
        <v>9</v>
      </c>
      <c r="V1" s="2" t="s">
        <v>14</v>
      </c>
      <c r="W1" s="2" t="s">
        <v>15</v>
      </c>
      <c r="X1" s="2" t="s">
        <v>16</v>
      </c>
      <c r="AA1" t="s">
        <v>23</v>
      </c>
    </row>
    <row r="2" spans="1:27" x14ac:dyDescent="0.3">
      <c r="A2" t="s">
        <v>4</v>
      </c>
      <c r="B2">
        <v>18</v>
      </c>
      <c r="C2">
        <v>25000</v>
      </c>
      <c r="D2" s="1">
        <v>45909</v>
      </c>
      <c r="E2" t="b">
        <v>1</v>
      </c>
      <c r="U2" s="2" t="s">
        <v>10</v>
      </c>
      <c r="V2" s="2">
        <v>25</v>
      </c>
      <c r="W2" s="2">
        <v>2</v>
      </c>
      <c r="X2" s="2">
        <f>V2*W2</f>
        <v>50</v>
      </c>
    </row>
    <row r="3" spans="1:27" x14ac:dyDescent="0.3">
      <c r="A3" t="s">
        <v>5</v>
      </c>
      <c r="B3">
        <v>25</v>
      </c>
      <c r="C3">
        <v>15000</v>
      </c>
      <c r="D3" s="1">
        <v>45858</v>
      </c>
      <c r="E3" t="b">
        <v>0</v>
      </c>
      <c r="U3" s="2" t="s">
        <v>11</v>
      </c>
      <c r="V3" s="2">
        <v>34</v>
      </c>
      <c r="W3" s="2">
        <v>3</v>
      </c>
      <c r="X3" s="2">
        <f>V3*W3</f>
        <v>102</v>
      </c>
    </row>
    <row r="4" spans="1:27" x14ac:dyDescent="0.3">
      <c r="A4" t="s">
        <v>8</v>
      </c>
      <c r="B4">
        <v>36</v>
      </c>
      <c r="C4">
        <v>18000</v>
      </c>
      <c r="D4" s="1">
        <v>46078</v>
      </c>
      <c r="E4" t="b">
        <v>0</v>
      </c>
      <c r="U4" s="2" t="s">
        <v>12</v>
      </c>
      <c r="V4" s="2">
        <v>26</v>
      </c>
      <c r="W4" s="2">
        <v>5</v>
      </c>
      <c r="X4" s="2">
        <f>V4*W4</f>
        <v>130</v>
      </c>
    </row>
    <row r="5" spans="1:27" x14ac:dyDescent="0.3">
      <c r="A5" t="s">
        <v>6</v>
      </c>
      <c r="B5">
        <v>29</v>
      </c>
      <c r="C5">
        <v>20000</v>
      </c>
      <c r="D5" s="1">
        <v>45612</v>
      </c>
      <c r="E5" t="b">
        <v>1</v>
      </c>
      <c r="U5" s="2" t="s">
        <v>13</v>
      </c>
      <c r="V5" s="2">
        <v>58</v>
      </c>
      <c r="W5" s="2">
        <v>4</v>
      </c>
      <c r="X5" s="2">
        <f>V5*W5</f>
        <v>232</v>
      </c>
    </row>
    <row r="6" spans="1:27" x14ac:dyDescent="0.3">
      <c r="U6" s="2" t="s">
        <v>17</v>
      </c>
      <c r="V6" s="2">
        <f>SUM(V2:V5)</f>
        <v>143</v>
      </c>
      <c r="W6" s="2">
        <f>SUM(W2:W5)</f>
        <v>14</v>
      </c>
      <c r="X6" s="2">
        <f>SUM(X2:X5)</f>
        <v>514</v>
      </c>
    </row>
    <row r="7" spans="1:27" x14ac:dyDescent="0.3">
      <c r="U7" s="2" t="s">
        <v>18</v>
      </c>
      <c r="V7" s="2">
        <f>AVERAGE(V2:V5)</f>
        <v>35.75</v>
      </c>
    </row>
    <row r="8" spans="1:27" x14ac:dyDescent="0.3">
      <c r="U8" s="2" t="s">
        <v>19</v>
      </c>
      <c r="V8" s="2">
        <f>COUNT(V2:V5)</f>
        <v>4</v>
      </c>
    </row>
    <row r="9" spans="1:27" x14ac:dyDescent="0.3">
      <c r="U9" s="2" t="s">
        <v>20</v>
      </c>
      <c r="V9" s="2">
        <f>MIN(V2:V5)</f>
        <v>25</v>
      </c>
    </row>
    <row r="10" spans="1:27" x14ac:dyDescent="0.3">
      <c r="U10" s="2" t="s">
        <v>21</v>
      </c>
      <c r="V10" s="2">
        <f>MAX(V2:V5)</f>
        <v>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1661-7A48-43D4-8CEF-926FD875FD3E}">
  <dimension ref="A1:X9"/>
  <sheetViews>
    <sheetView zoomScaleNormal="100" workbookViewId="0">
      <selection activeCell="D3" sqref="D3"/>
    </sheetView>
  </sheetViews>
  <sheetFormatPr defaultRowHeight="14.4" x14ac:dyDescent="0.3"/>
  <cols>
    <col min="5" max="5" width="19.5546875" style="6" customWidth="1"/>
    <col min="6" max="6" width="8.88671875" style="8"/>
  </cols>
  <sheetData>
    <row r="1" spans="1:24" x14ac:dyDescent="0.3">
      <c r="A1" s="3"/>
      <c r="B1" s="3" t="s">
        <v>11</v>
      </c>
      <c r="C1" s="3" t="s">
        <v>12</v>
      </c>
      <c r="D1" s="3" t="s">
        <v>13</v>
      </c>
      <c r="F1" s="8">
        <v>5</v>
      </c>
      <c r="S1" s="3"/>
      <c r="T1" s="3"/>
      <c r="U1" s="3"/>
      <c r="V1" s="3"/>
      <c r="W1" s="3"/>
      <c r="X1" s="7"/>
    </row>
    <row r="2" spans="1:24" x14ac:dyDescent="0.3">
      <c r="A2" s="4">
        <v>1</v>
      </c>
      <c r="B2" s="4" t="s">
        <v>24</v>
      </c>
      <c r="C2" s="4" t="s">
        <v>25</v>
      </c>
      <c r="D2" s="4" t="s">
        <v>26</v>
      </c>
      <c r="F2" s="8">
        <v>10</v>
      </c>
      <c r="S2" s="4"/>
      <c r="T2" s="4"/>
      <c r="U2" s="5"/>
      <c r="V2" s="5"/>
      <c r="W2" s="6"/>
      <c r="X2" s="8"/>
    </row>
    <row r="3" spans="1:24" x14ac:dyDescent="0.3">
      <c r="A3" s="4">
        <v>2</v>
      </c>
      <c r="B3" s="4">
        <v>100</v>
      </c>
      <c r="C3" s="4">
        <v>200</v>
      </c>
      <c r="D3" s="4">
        <v>300</v>
      </c>
      <c r="F3" s="8">
        <v>15</v>
      </c>
      <c r="S3" s="4"/>
      <c r="T3" s="4"/>
      <c r="U3" s="5"/>
      <c r="V3" s="5"/>
      <c r="W3" s="6"/>
      <c r="X3" s="7"/>
    </row>
    <row r="4" spans="1:24" x14ac:dyDescent="0.3">
      <c r="A4" s="4">
        <v>3</v>
      </c>
      <c r="B4" s="4">
        <v>150</v>
      </c>
      <c r="C4" s="4">
        <v>250</v>
      </c>
      <c r="D4" s="4">
        <v>350</v>
      </c>
      <c r="S4" s="4"/>
      <c r="T4" s="4"/>
      <c r="U4" s="5"/>
      <c r="V4" s="5"/>
      <c r="W4" s="6"/>
      <c r="X4" s="8"/>
    </row>
    <row r="5" spans="1:24" x14ac:dyDescent="0.3">
      <c r="A5" s="4">
        <v>4</v>
      </c>
      <c r="B5" s="4">
        <v>200</v>
      </c>
      <c r="C5" s="4">
        <v>300</v>
      </c>
      <c r="D5" s="4">
        <v>400</v>
      </c>
      <c r="S5" s="4"/>
      <c r="T5" s="4"/>
      <c r="U5" s="5"/>
      <c r="V5" s="5"/>
      <c r="W5" s="6"/>
      <c r="X5" s="8"/>
    </row>
    <row r="6" spans="1:24" x14ac:dyDescent="0.3">
      <c r="A6" s="4"/>
      <c r="S6" s="4"/>
      <c r="T6" s="4"/>
      <c r="U6" s="5"/>
      <c r="V6" s="5"/>
      <c r="W6" s="6"/>
      <c r="X6" s="8"/>
    </row>
    <row r="7" spans="1:24" x14ac:dyDescent="0.3">
      <c r="A7" s="4"/>
      <c r="S7" s="4"/>
      <c r="T7" s="4"/>
      <c r="U7" s="5"/>
      <c r="V7" s="5"/>
      <c r="W7" s="6"/>
      <c r="X7" s="8"/>
    </row>
    <row r="8" spans="1:24" x14ac:dyDescent="0.3">
      <c r="A8" s="4"/>
    </row>
    <row r="9" spans="1:24" x14ac:dyDescent="0.3">
      <c r="A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5EB1-C5B8-497C-8706-6F51F95B2AEE}">
  <dimension ref="A1:G10"/>
  <sheetViews>
    <sheetView workbookViewId="0">
      <selection activeCell="G11" sqref="G11"/>
    </sheetView>
  </sheetViews>
  <sheetFormatPr defaultRowHeight="14.4" x14ac:dyDescent="0.3"/>
  <cols>
    <col min="1" max="1" width="9.33203125" bestFit="1" customWidth="1"/>
    <col min="6" max="6" width="9.44140625" bestFit="1" customWidth="1"/>
  </cols>
  <sheetData>
    <row r="1" spans="1:7" x14ac:dyDescent="0.3">
      <c r="A1" t="s">
        <v>0</v>
      </c>
      <c r="B1" t="s">
        <v>32</v>
      </c>
      <c r="C1" t="s">
        <v>33</v>
      </c>
      <c r="D1" t="s">
        <v>34</v>
      </c>
    </row>
    <row r="2" spans="1:7" x14ac:dyDescent="0.3">
      <c r="A2" t="s">
        <v>27</v>
      </c>
      <c r="B2">
        <v>150</v>
      </c>
      <c r="C2">
        <v>100</v>
      </c>
      <c r="D2">
        <f>B2-C2</f>
        <v>50</v>
      </c>
    </row>
    <row r="3" spans="1:7" x14ac:dyDescent="0.3">
      <c r="A3" t="s">
        <v>28</v>
      </c>
      <c r="B3">
        <v>500</v>
      </c>
      <c r="C3">
        <v>350</v>
      </c>
      <c r="D3">
        <f t="shared" ref="D3:D6" si="0">B3-C3</f>
        <v>150</v>
      </c>
    </row>
    <row r="4" spans="1:7" x14ac:dyDescent="0.3">
      <c r="A4" t="s">
        <v>29</v>
      </c>
      <c r="B4">
        <v>330</v>
      </c>
      <c r="C4">
        <v>175</v>
      </c>
      <c r="D4">
        <f t="shared" si="0"/>
        <v>155</v>
      </c>
    </row>
    <row r="5" spans="1:7" x14ac:dyDescent="0.3">
      <c r="A5" t="s">
        <v>30</v>
      </c>
      <c r="B5">
        <v>782</v>
      </c>
      <c r="C5">
        <v>600</v>
      </c>
      <c r="D5">
        <f t="shared" si="0"/>
        <v>182</v>
      </c>
    </row>
    <row r="6" spans="1:7" x14ac:dyDescent="0.3">
      <c r="A6" t="s">
        <v>31</v>
      </c>
      <c r="B6">
        <v>53</v>
      </c>
      <c r="C6">
        <v>45</v>
      </c>
      <c r="D6">
        <f t="shared" si="0"/>
        <v>8</v>
      </c>
    </row>
    <row r="7" spans="1:7" x14ac:dyDescent="0.3">
      <c r="B7">
        <f>SUM(B2:B6)</f>
        <v>1815</v>
      </c>
      <c r="C7">
        <f>SUM(C2:C6)</f>
        <v>1270</v>
      </c>
      <c r="D7">
        <f>D2+D3+D4+D5+D6</f>
        <v>545</v>
      </c>
    </row>
    <row r="10" spans="1:7" x14ac:dyDescent="0.3">
      <c r="G10">
        <f>B7-C7</f>
        <v>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ABBA-4A30-439A-A091-6C3746C150EB}">
  <dimension ref="A1:D4"/>
  <sheetViews>
    <sheetView workbookViewId="0">
      <selection activeCell="B3" sqref="B3"/>
    </sheetView>
  </sheetViews>
  <sheetFormatPr defaultRowHeight="14.4" x14ac:dyDescent="0.3"/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39</v>
      </c>
      <c r="B2">
        <v>55000</v>
      </c>
      <c r="C2">
        <v>30000</v>
      </c>
      <c r="D2">
        <f>B2-C2</f>
        <v>25000</v>
      </c>
    </row>
    <row r="3" spans="1:4" x14ac:dyDescent="0.3">
      <c r="A3" t="s">
        <v>40</v>
      </c>
      <c r="B3">
        <v>60000</v>
      </c>
      <c r="C3">
        <v>35000</v>
      </c>
      <c r="D3">
        <f t="shared" ref="D3:D4" si="0">B3-C3</f>
        <v>25000</v>
      </c>
    </row>
    <row r="4" spans="1:4" x14ac:dyDescent="0.3">
      <c r="A4" t="s">
        <v>41</v>
      </c>
      <c r="B4">
        <v>55000</v>
      </c>
      <c r="C4">
        <v>32000</v>
      </c>
      <c r="D4">
        <f t="shared" si="0"/>
        <v>23000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A24C-F01B-4CBA-A0F3-1430F839722C}">
  <dimension ref="A1:D4"/>
  <sheetViews>
    <sheetView workbookViewId="0">
      <selection activeCell="F15" sqref="F15"/>
    </sheetView>
  </sheetViews>
  <sheetFormatPr defaultRowHeight="14.4" x14ac:dyDescent="0.3"/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39</v>
      </c>
      <c r="B2">
        <v>45000</v>
      </c>
      <c r="C2">
        <v>28000</v>
      </c>
      <c r="D2">
        <f>B2-C2</f>
        <v>17000</v>
      </c>
    </row>
    <row r="3" spans="1:4" x14ac:dyDescent="0.3">
      <c r="A3" t="s">
        <v>40</v>
      </c>
      <c r="B3">
        <v>52000</v>
      </c>
      <c r="C3">
        <v>30000</v>
      </c>
      <c r="D3">
        <f t="shared" ref="D3:D4" si="0">B3-C3</f>
        <v>22000</v>
      </c>
    </row>
    <row r="4" spans="1:4" x14ac:dyDescent="0.3">
      <c r="A4" t="s">
        <v>41</v>
      </c>
      <c r="B4">
        <v>58000</v>
      </c>
      <c r="C4">
        <v>33000</v>
      </c>
      <c r="D4">
        <f t="shared" si="0"/>
        <v>25000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0C19-FA6A-46E7-B52D-CB08E142B60E}">
  <dimension ref="A1:D4"/>
  <sheetViews>
    <sheetView workbookViewId="0">
      <selection sqref="A1:D4"/>
    </sheetView>
  </sheetViews>
  <sheetFormatPr defaultRowHeight="14.4" x14ac:dyDescent="0.3"/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39</v>
      </c>
      <c r="B2">
        <v>40000</v>
      </c>
      <c r="C2">
        <v>25000</v>
      </c>
      <c r="D2">
        <f>B2-C2</f>
        <v>15000</v>
      </c>
    </row>
    <row r="3" spans="1:4" x14ac:dyDescent="0.3">
      <c r="A3" t="s">
        <v>40</v>
      </c>
      <c r="B3">
        <v>48000</v>
      </c>
      <c r="C3">
        <v>27000</v>
      </c>
      <c r="D3">
        <f t="shared" ref="D3:D4" si="0">B3-C3</f>
        <v>21000</v>
      </c>
    </row>
    <row r="4" spans="1:4" x14ac:dyDescent="0.3">
      <c r="A4" t="s">
        <v>41</v>
      </c>
      <c r="B4">
        <v>51000</v>
      </c>
      <c r="C4">
        <v>29000</v>
      </c>
      <c r="D4">
        <f t="shared" si="0"/>
        <v>22000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B30C-B53B-48E6-AD99-A686ADCD905E}">
  <dimension ref="A1:F12"/>
  <sheetViews>
    <sheetView tabSelected="1" workbookViewId="0">
      <selection activeCell="F12" sqref="F12"/>
    </sheetView>
  </sheetViews>
  <sheetFormatPr defaultRowHeight="14.4" x14ac:dyDescent="0.3"/>
  <cols>
    <col min="6" max="6" width="36.21875" bestFit="1" customWidth="1"/>
  </cols>
  <sheetData>
    <row r="1" spans="1:6" x14ac:dyDescent="0.3">
      <c r="A1" t="s">
        <v>35</v>
      </c>
      <c r="B1" t="s">
        <v>36</v>
      </c>
      <c r="C1" t="s">
        <v>37</v>
      </c>
      <c r="D1" t="s">
        <v>38</v>
      </c>
    </row>
    <row r="2" spans="1:6" x14ac:dyDescent="0.3">
      <c r="A2" t="s">
        <v>39</v>
      </c>
      <c r="B2">
        <f>' Consolidation_Table1'!B2+' Consolidation_Table2'!B2+' Consolidation_Table3'!B2</f>
        <v>140000</v>
      </c>
      <c r="C2">
        <f>' Consolidation_Table1'!C2+' Consolidation_Table2'!C2+' Consolidation_Table3'!C2</f>
        <v>83000</v>
      </c>
      <c r="D2">
        <f>' Consolidation_Table1'!D2+' Consolidation_Table2'!D2+' Consolidation_Table3'!D2</f>
        <v>57000</v>
      </c>
      <c r="F2" s="9" t="s">
        <v>42</v>
      </c>
    </row>
    <row r="3" spans="1:6" x14ac:dyDescent="0.3">
      <c r="A3" t="s">
        <v>40</v>
      </c>
      <c r="B3">
        <f>' Consolidation_Table1'!B3+' Consolidation_Table2'!B3+' Consolidation_Table3'!B3</f>
        <v>160000</v>
      </c>
      <c r="C3">
        <f>' Consolidation_Table1'!C3+' Consolidation_Table2'!C3+' Consolidation_Table3'!C3</f>
        <v>92000</v>
      </c>
      <c r="D3">
        <f>' Consolidation_Table1'!D3+' Consolidation_Table2'!D3+' Consolidation_Table3'!D3</f>
        <v>68000</v>
      </c>
    </row>
    <row r="4" spans="1:6" x14ac:dyDescent="0.3">
      <c r="A4" t="s">
        <v>41</v>
      </c>
      <c r="B4">
        <f>' Consolidation_Table1'!B4+' Consolidation_Table2'!B4+' Consolidation_Table3'!B4</f>
        <v>164000</v>
      </c>
      <c r="C4">
        <f>' Consolidation_Table1'!C4+' Consolidation_Table2'!C4+' Consolidation_Table3'!C4</f>
        <v>94000</v>
      </c>
      <c r="D4">
        <f>' Consolidation_Table1'!D4+' Consolidation_Table2'!D4+' Consolidation_Table3'!D4</f>
        <v>70000</v>
      </c>
    </row>
    <row r="9" spans="1:6" x14ac:dyDescent="0.3">
      <c r="A9" t="s">
        <v>35</v>
      </c>
      <c r="B9" t="s">
        <v>36</v>
      </c>
      <c r="C9" t="s">
        <v>37</v>
      </c>
      <c r="D9" t="s">
        <v>38</v>
      </c>
    </row>
    <row r="10" spans="1:6" x14ac:dyDescent="0.3">
      <c r="A10" t="s">
        <v>39</v>
      </c>
      <c r="B10">
        <v>135000</v>
      </c>
      <c r="C10">
        <v>83000</v>
      </c>
      <c r="D10">
        <v>52000</v>
      </c>
      <c r="F10" s="9" t="s">
        <v>43</v>
      </c>
    </row>
    <row r="11" spans="1:6" x14ac:dyDescent="0.3">
      <c r="A11" t="s">
        <v>40</v>
      </c>
      <c r="B11">
        <v>160000</v>
      </c>
      <c r="C11">
        <v>92000</v>
      </c>
      <c r="D11">
        <v>68000</v>
      </c>
    </row>
    <row r="12" spans="1:6" x14ac:dyDescent="0.3">
      <c r="A12" t="s">
        <v>41</v>
      </c>
      <c r="B12">
        <v>164000</v>
      </c>
      <c r="C12">
        <v>94000</v>
      </c>
      <c r="D12">
        <v>70000</v>
      </c>
    </row>
  </sheetData>
  <dataConsolidate>
    <dataRefs count="3">
      <dataRef ref="B2:D4" sheet=" Consolidation_Table1"/>
      <dataRef ref="B2:D4" sheet=" Consolidation_Table2"/>
      <dataRef ref="B2:D4" sheet=" Consolidation_Table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Cell Reference</vt:lpstr>
      <vt:lpstr>Sheet2</vt:lpstr>
      <vt:lpstr> Consolidation_Table1</vt:lpstr>
      <vt:lpstr> Consolidation_Table2</vt:lpstr>
      <vt:lpstr> Consolidation_Table3</vt:lpstr>
      <vt:lpstr> Consolidation_Summary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Tamboli</dc:creator>
  <cp:lastModifiedBy>Ayan Tamboli</cp:lastModifiedBy>
  <dcterms:created xsi:type="dcterms:W3CDTF">2026-10-07T17:22:37Z</dcterms:created>
  <dcterms:modified xsi:type="dcterms:W3CDTF">2026-10-20T18:12:46Z</dcterms:modified>
</cp:coreProperties>
</file>